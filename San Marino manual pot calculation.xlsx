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yswitzerland.sharepoint.com/sites/Engagement-Starlight/Shared Documents/General/ESC 2026 - Vienna/Technical Assessment/1 Scripts/2 Armand Test Folder/02. SF1 - Audience/"/>
    </mc:Choice>
  </mc:AlternateContent>
  <xr:revisionPtr revIDLastSave="130" documentId="8_{8DB8C95D-9CE7-4E3B-A8DB-9D346B4508BC}" xr6:coauthVersionLast="47" xr6:coauthVersionMax="47" xr10:uidLastSave="{E0B0E4F7-5886-450F-9473-BB542641769A}"/>
  <bookViews>
    <workbookView xWindow="-108" yWindow="-108" windowWidth="23256" windowHeight="13896" xr2:uid="{BADEC608-3091-47B4-A0C2-AC1DF8D415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H32" i="1"/>
  <c r="H30" i="1"/>
  <c r="D32" i="1"/>
  <c r="I32" i="1" s="1"/>
  <c r="C32" i="1"/>
  <c r="C30" i="1"/>
  <c r="D30" i="1"/>
  <c r="E30" i="1"/>
  <c r="E32" i="1" s="1"/>
  <c r="H9" i="1" l="1"/>
  <c r="H14" i="1"/>
  <c r="H15" i="1"/>
  <c r="H17" i="1"/>
  <c r="H5" i="1"/>
  <c r="H6" i="1"/>
  <c r="H22" i="1"/>
  <c r="H18" i="1"/>
  <c r="H19" i="1"/>
  <c r="H20" i="1"/>
  <c r="H21" i="1"/>
  <c r="H7" i="1"/>
  <c r="H13" i="1"/>
  <c r="H16" i="1"/>
  <c r="H8" i="1"/>
  <c r="H25" i="1"/>
  <c r="H11" i="1"/>
  <c r="H28" i="1"/>
  <c r="H23" i="1"/>
  <c r="H27" i="1"/>
  <c r="H12" i="1"/>
  <c r="H29" i="1"/>
  <c r="H24" i="1"/>
  <c r="H10" i="1"/>
  <c r="H26" i="1"/>
  <c r="I5" i="1"/>
  <c r="K5" i="1" s="1"/>
  <c r="I6" i="1"/>
  <c r="I22" i="1"/>
  <c r="I7" i="1"/>
  <c r="I23" i="1"/>
  <c r="I9" i="1"/>
  <c r="K9" i="1" s="1"/>
  <c r="I25" i="1"/>
  <c r="I29" i="1"/>
  <c r="I18" i="1"/>
  <c r="I20" i="1"/>
  <c r="I10" i="1"/>
  <c r="I26" i="1"/>
  <c r="I27" i="1"/>
  <c r="I19" i="1"/>
  <c r="I11" i="1"/>
  <c r="I15" i="1"/>
  <c r="I16" i="1"/>
  <c r="I8" i="1"/>
  <c r="I12" i="1"/>
  <c r="I28" i="1"/>
  <c r="I17" i="1"/>
  <c r="I24" i="1"/>
  <c r="I13" i="1"/>
  <c r="I21" i="1"/>
  <c r="I14" i="1"/>
  <c r="L21" i="1" l="1"/>
  <c r="K21" i="1"/>
  <c r="K22" i="1"/>
  <c r="L22" i="1"/>
  <c r="K20" i="1"/>
  <c r="L20" i="1"/>
  <c r="L12" i="1"/>
  <c r="K12" i="1"/>
  <c r="K13" i="1"/>
  <c r="L13" i="1"/>
  <c r="L27" i="1"/>
  <c r="K27" i="1"/>
  <c r="L17" i="1"/>
  <c r="K17" i="1"/>
  <c r="K23" i="1"/>
  <c r="L23" i="1"/>
  <c r="L5" i="1"/>
  <c r="L15" i="1"/>
  <c r="K15" i="1"/>
  <c r="L28" i="1"/>
  <c r="K28" i="1"/>
  <c r="K14" i="1"/>
  <c r="L14" i="1"/>
  <c r="L10" i="1"/>
  <c r="K10" i="1"/>
  <c r="L9" i="1"/>
  <c r="M9" i="1" s="1"/>
  <c r="K16" i="1"/>
  <c r="L16" i="1"/>
  <c r="M16" i="1" s="1"/>
  <c r="K7" i="1"/>
  <c r="L7" i="1"/>
  <c r="L26" i="1"/>
  <c r="K26" i="1"/>
  <c r="K19" i="1"/>
  <c r="L19" i="1"/>
  <c r="L18" i="1"/>
  <c r="K18" i="1"/>
  <c r="L24" i="1"/>
  <c r="K24" i="1"/>
  <c r="M24" i="1" s="1"/>
  <c r="L29" i="1"/>
  <c r="K29" i="1"/>
  <c r="K6" i="1"/>
  <c r="L6" i="1"/>
  <c r="L11" i="1"/>
  <c r="K11" i="1"/>
  <c r="L25" i="1"/>
  <c r="K25" i="1"/>
  <c r="K8" i="1"/>
  <c r="L8" i="1"/>
  <c r="I30" i="1"/>
  <c r="M20" i="1" l="1"/>
  <c r="M6" i="1"/>
  <c r="M19" i="1"/>
  <c r="M10" i="1"/>
  <c r="M26" i="1"/>
  <c r="M13" i="1"/>
  <c r="M14" i="1"/>
  <c r="M8" i="1"/>
  <c r="K30" i="1"/>
  <c r="M17" i="1"/>
  <c r="M22" i="1"/>
  <c r="M25" i="1"/>
  <c r="M11" i="1"/>
  <c r="M27" i="1"/>
  <c r="M12" i="1"/>
  <c r="M28" i="1"/>
  <c r="M21" i="1"/>
  <c r="M7" i="1"/>
  <c r="M29" i="1"/>
  <c r="M18" i="1"/>
  <c r="M15" i="1"/>
  <c r="L30" i="1"/>
  <c r="M5" i="1"/>
  <c r="M23" i="1"/>
  <c r="M30" i="1" l="1"/>
  <c r="P19" i="1" l="1"/>
  <c r="Q19" i="1" s="1"/>
  <c r="R19" i="1" s="1"/>
  <c r="P11" i="1"/>
  <c r="Q11" i="1" s="1"/>
  <c r="R11" i="1" s="1"/>
  <c r="P20" i="1"/>
  <c r="Q20" i="1" s="1"/>
  <c r="R20" i="1" s="1"/>
  <c r="P12" i="1"/>
  <c r="Q12" i="1" s="1"/>
  <c r="R12" i="1" s="1"/>
  <c r="P5" i="1"/>
  <c r="Q5" i="1" s="1"/>
  <c r="R5" i="1" s="1"/>
  <c r="P21" i="1"/>
  <c r="Q21" i="1" s="1"/>
  <c r="R21" i="1" s="1"/>
  <c r="P13" i="1"/>
  <c r="Q13" i="1" s="1"/>
  <c r="R13" i="1" s="1"/>
  <c r="P22" i="1"/>
  <c r="Q22" i="1" s="1"/>
  <c r="R22" i="1" s="1"/>
  <c r="P14" i="1"/>
  <c r="Q14" i="1" s="1"/>
  <c r="R14" i="1" s="1"/>
  <c r="P23" i="1"/>
  <c r="Q23" i="1" s="1"/>
  <c r="R23" i="1" s="1"/>
  <c r="P15" i="1"/>
  <c r="Q15" i="1" s="1"/>
  <c r="R15" i="1" s="1"/>
  <c r="P27" i="1"/>
  <c r="Q27" i="1" s="1"/>
  <c r="R27" i="1" s="1"/>
  <c r="P7" i="1"/>
  <c r="Q7" i="1" s="1"/>
  <c r="R7" i="1" s="1"/>
  <c r="P24" i="1"/>
  <c r="Q24" i="1" s="1"/>
  <c r="R24" i="1" s="1"/>
  <c r="P16" i="1"/>
  <c r="Q16" i="1" s="1"/>
  <c r="R16" i="1" s="1"/>
  <c r="P6" i="1"/>
  <c r="Q6" i="1" s="1"/>
  <c r="R6" i="1" s="1"/>
  <c r="P25" i="1"/>
  <c r="Q25" i="1" s="1"/>
  <c r="R25" i="1" s="1"/>
  <c r="P17" i="1"/>
  <c r="Q17" i="1" s="1"/>
  <c r="R17" i="1" s="1"/>
  <c r="P9" i="1"/>
  <c r="Q9" i="1" s="1"/>
  <c r="R9" i="1" s="1"/>
  <c r="P26" i="1"/>
  <c r="Q26" i="1" s="1"/>
  <c r="R26" i="1" s="1"/>
  <c r="P18" i="1"/>
  <c r="Q18" i="1" s="1"/>
  <c r="R18" i="1" s="1"/>
  <c r="P29" i="1"/>
  <c r="Q29" i="1" s="1"/>
  <c r="R29" i="1" s="1"/>
  <c r="P8" i="1"/>
  <c r="Q8" i="1" s="1"/>
  <c r="R8" i="1" s="1"/>
  <c r="P10" i="1"/>
  <c r="Q10" i="1" s="1"/>
  <c r="R10" i="1" s="1"/>
  <c r="P28" i="1"/>
  <c r="Q28" i="1" s="1"/>
  <c r="R28" i="1" s="1"/>
  <c r="R30" i="1" l="1"/>
  <c r="P30" i="1"/>
  <c r="Q30" i="1"/>
</calcChain>
</file>

<file path=xl/sharedStrings.xml><?xml version="1.0" encoding="utf-8"?>
<sst xmlns="http://schemas.openxmlformats.org/spreadsheetml/2006/main" count="100" uniqueCount="44">
  <si>
    <t>THRESHOLD</t>
  </si>
  <si>
    <t>Equalized Votes</t>
  </si>
  <si>
    <t>Averaged Voting</t>
  </si>
  <si>
    <t>Final Adjusted Voting</t>
  </si>
  <si>
    <t>Country</t>
  </si>
  <si>
    <t>Count</t>
  </si>
  <si>
    <t>Sum</t>
  </si>
  <si>
    <t>Mean</t>
  </si>
  <si>
    <t>Adjusted</t>
  </si>
  <si>
    <t>Rounded</t>
  </si>
  <si>
    <t>New Votes</t>
  </si>
  <si>
    <t>SUM</t>
  </si>
  <si>
    <t>Equalizing factor</t>
  </si>
  <si>
    <t>Multiplication Factor</t>
  </si>
  <si>
    <t>Latvia</t>
  </si>
  <si>
    <t>Malta</t>
  </si>
  <si>
    <t>San Ma</t>
  </si>
  <si>
    <t>nVotesforDDI01_Australia</t>
  </si>
  <si>
    <t>nVotesforDDI02_Austria</t>
  </si>
  <si>
    <t>nVotesforDDI03_Cyprus</t>
  </si>
  <si>
    <t>nVotesforDDI04_Denmark</t>
  </si>
  <si>
    <t>nVotesforDDI05_Latvia</t>
  </si>
  <si>
    <t>nVotesforDDI06_Luxembourg</t>
  </si>
  <si>
    <t>nVotesforDDI07_Norway</t>
  </si>
  <si>
    <t>nVotesforDDI08_Romania</t>
  </si>
  <si>
    <t>nVotesforDDI09_Ukraine</t>
  </si>
  <si>
    <t>nVotesforDDI10_Czechia</t>
  </si>
  <si>
    <t>nVotesforDDI11_Switzerland</t>
  </si>
  <si>
    <t>nVotesforDDI12_France</t>
  </si>
  <si>
    <t>nVotesforDDI13_United Kingdom</t>
  </si>
  <si>
    <t>nVotesforDDI14_Belgium</t>
  </si>
  <si>
    <t>nVotesforDDI15_Estonia</t>
  </si>
  <si>
    <t>nVotesforDDI16_Finland</t>
  </si>
  <si>
    <t>nVotesforDDI17_Greece</t>
  </si>
  <si>
    <t>nVotesforDDI18_Lithuania</t>
  </si>
  <si>
    <t>nVotesforDDI19_Germany</t>
  </si>
  <si>
    <t>nVotesforDDI20_Italy</t>
  </si>
  <si>
    <t>nVotesforDDI21_Poland</t>
  </si>
  <si>
    <t>nVotesforDDI22_Portugal</t>
  </si>
  <si>
    <t>nVotesforDDI23_Sweden</t>
  </si>
  <si>
    <t>nVotesforDDI24_Serbia</t>
  </si>
  <si>
    <t>nVotesforDDI25_Moldova</t>
  </si>
  <si>
    <t>DDI</t>
  </si>
  <si>
    <t>True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</si>
</sst>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2" fontId="0" fillId="0" borderId="1" xfId="0" applyNumberFormat="1" applyBorder="1"/>
    <xf numFmtId="0" fontId="1" fillId="0" borderId="5" xfId="0" applyFont="1" applyBorder="1"/>
    <xf numFmtId="0" fontId="1" fillId="0" borderId="6" xfId="0" applyFont="1" applyBorder="1"/>
    <xf numFmtId="164" fontId="1" fillId="0" borderId="7" xfId="0" applyNumberFormat="1" applyFont="1" applyBorder="1"/>
    <xf numFmtId="0" fontId="1" fillId="5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1" fontId="0" fillId="3" borderId="12" xfId="0" applyNumberFormat="1" applyFill="1" applyBorder="1"/>
    <xf numFmtId="1" fontId="1" fillId="2" borderId="13" xfId="0" applyNumberFormat="1" applyFont="1" applyFill="1" applyBorder="1"/>
    <xf numFmtId="0" fontId="1" fillId="0" borderId="12" xfId="0" applyFont="1" applyBorder="1" applyAlignment="1">
      <alignment horizontal="center"/>
    </xf>
    <xf numFmtId="2" fontId="0" fillId="0" borderId="12" xfId="0" applyNumberFormat="1" applyBorder="1"/>
    <xf numFmtId="1" fontId="0" fillId="0" borderId="11" xfId="0" applyNumberFormat="1" applyBorder="1"/>
    <xf numFmtId="1" fontId="1" fillId="0" borderId="14" xfId="0" applyNumberFormat="1" applyFont="1" applyBorder="1"/>
    <xf numFmtId="1" fontId="0" fillId="0" borderId="12" xfId="0" applyNumberFormat="1" applyBorder="1"/>
    <xf numFmtId="0" fontId="1" fillId="0" borderId="13" xfId="0" applyFont="1" applyBorder="1"/>
    <xf numFmtId="0" fontId="1" fillId="0" borderId="14" xfId="0" applyFont="1" applyBorder="1"/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2" borderId="16" xfId="0" applyNumberFormat="1" applyFont="1" applyFill="1" applyBorder="1"/>
    <xf numFmtId="168" fontId="0" fillId="0" borderId="0" xfId="0" applyNumberFormat="1"/>
    <xf numFmtId="168" fontId="0" fillId="0" borderId="1" xfId="0" applyNumberFormat="1" applyBorder="1"/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0" xfId="0" applyBorder="1"/>
    <xf numFmtId="0" fontId="1" fillId="0" borderId="2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813F-E31B-4799-A047-14EC3CDB9E73}">
  <dimension ref="B1:R36"/>
  <sheetViews>
    <sheetView showGridLines="0" tabSelected="1" zoomScale="126" zoomScaleNormal="100" workbookViewId="0">
      <selection activeCell="I34" sqref="I34"/>
    </sheetView>
  </sheetViews>
  <sheetFormatPr defaultRowHeight="14.4" x14ac:dyDescent="0.3"/>
  <cols>
    <col min="2" max="2" width="27.88671875" style="1" bestFit="1" customWidth="1"/>
    <col min="5" max="5" width="9.77734375" bestFit="1" customWidth="1"/>
    <col min="7" max="7" width="19.5546875" style="1" customWidth="1"/>
    <col min="8" max="9" width="9.77734375" bestFit="1" customWidth="1"/>
    <col min="12" max="12" width="10" customWidth="1"/>
    <col min="13" max="13" width="9.77734375" bestFit="1" customWidth="1"/>
    <col min="15" max="15" width="27.88671875" bestFit="1" customWidth="1"/>
    <col min="16" max="16" width="12.33203125" customWidth="1"/>
    <col min="17" max="17" width="14.6640625" customWidth="1"/>
    <col min="18" max="18" width="12.5546875" customWidth="1"/>
  </cols>
  <sheetData>
    <row r="1" spans="2:18" x14ac:dyDescent="0.3">
      <c r="B1" s="1" t="s">
        <v>0</v>
      </c>
      <c r="C1" s="7">
        <v>1000</v>
      </c>
    </row>
    <row r="2" spans="2:18" ht="15" thickBot="1" x14ac:dyDescent="0.35"/>
    <row r="3" spans="2:18" x14ac:dyDescent="0.3">
      <c r="B3" s="15"/>
      <c r="C3" s="34" t="s">
        <v>43</v>
      </c>
      <c r="D3" s="35"/>
      <c r="E3" s="36"/>
      <c r="G3" s="15"/>
      <c r="H3" s="27" t="s">
        <v>1</v>
      </c>
      <c r="I3" s="27"/>
      <c r="J3" s="7"/>
      <c r="K3" s="29" t="s">
        <v>2</v>
      </c>
      <c r="L3" s="27"/>
      <c r="M3" s="28"/>
      <c r="P3" s="29" t="s">
        <v>3</v>
      </c>
      <c r="Q3" s="27"/>
      <c r="R3" s="28"/>
    </row>
    <row r="4" spans="2:18" s="1" customFormat="1" x14ac:dyDescent="0.3">
      <c r="B4" s="16" t="s">
        <v>4</v>
      </c>
      <c r="C4" s="3" t="s">
        <v>14</v>
      </c>
      <c r="D4" s="3" t="s">
        <v>15</v>
      </c>
      <c r="E4" s="17" t="s">
        <v>16</v>
      </c>
      <c r="G4" s="16" t="s">
        <v>4</v>
      </c>
      <c r="H4" s="3" t="s">
        <v>14</v>
      </c>
      <c r="I4" s="3" t="s">
        <v>15</v>
      </c>
      <c r="J4" s="8"/>
      <c r="K4" s="16" t="s">
        <v>5</v>
      </c>
      <c r="L4" s="3" t="s">
        <v>6</v>
      </c>
      <c r="M4" s="20" t="s">
        <v>7</v>
      </c>
      <c r="O4" s="40" t="s">
        <v>42</v>
      </c>
      <c r="P4" s="37" t="s">
        <v>8</v>
      </c>
      <c r="Q4" s="3" t="s">
        <v>9</v>
      </c>
      <c r="R4" s="20" t="s">
        <v>10</v>
      </c>
    </row>
    <row r="5" spans="2:18" x14ac:dyDescent="0.3">
      <c r="B5" s="2" t="s">
        <v>17</v>
      </c>
      <c r="C5" s="2">
        <v>34300</v>
      </c>
      <c r="D5" s="2">
        <v>23131</v>
      </c>
      <c r="E5" s="18">
        <v>0</v>
      </c>
      <c r="G5" s="2" t="s">
        <v>17</v>
      </c>
      <c r="H5" s="33">
        <f>C5/H$32</f>
        <v>3.1656697421963469E-2</v>
      </c>
      <c r="I5" s="33">
        <f>D5/I$32</f>
        <v>4.8171519013703194E-2</v>
      </c>
      <c r="J5" s="9"/>
      <c r="K5" s="22">
        <f>COUNTIF(H5:I5,"&gt;0")</f>
        <v>2</v>
      </c>
      <c r="L5" s="11">
        <f>SUM(H5:I5)</f>
        <v>7.9828216435666663E-2</v>
      </c>
      <c r="M5" s="21">
        <f>L5/K5</f>
        <v>3.9914108217833331E-2</v>
      </c>
      <c r="O5" s="40" t="s">
        <v>17</v>
      </c>
      <c r="P5" s="38">
        <f>M5*$M$32</f>
        <v>39.134403036750008</v>
      </c>
      <c r="Q5" s="2">
        <f>ROUNDUP(P5,0)</f>
        <v>40</v>
      </c>
      <c r="R5" s="24">
        <f>Q5+E5</f>
        <v>40</v>
      </c>
    </row>
    <row r="6" spans="2:18" x14ac:dyDescent="0.3">
      <c r="B6" s="2" t="s">
        <v>18</v>
      </c>
      <c r="C6" s="2">
        <v>47683</v>
      </c>
      <c r="D6" s="2">
        <v>19681</v>
      </c>
      <c r="E6" s="18">
        <v>0</v>
      </c>
      <c r="G6" s="2" t="s">
        <v>18</v>
      </c>
      <c r="H6" s="33">
        <f t="shared" ref="H6:H29" si="0">C6/H$32</f>
        <v>4.4008347031238605E-2</v>
      </c>
      <c r="I6" s="33">
        <f t="shared" ref="I6:I29" si="1">D6/I$32</f>
        <v>4.098671331583989E-2</v>
      </c>
      <c r="J6" s="9"/>
      <c r="K6" s="22">
        <f t="shared" ref="K6:K29" si="2">COUNTIF(H6:I6,"&gt;0")</f>
        <v>2</v>
      </c>
      <c r="L6" s="11">
        <f t="shared" ref="L6:L29" si="3">SUM(H6:I6)</f>
        <v>8.4995060347078488E-2</v>
      </c>
      <c r="M6" s="21">
        <f t="shared" ref="M6:M29" si="4">L6/K6</f>
        <v>4.2497530173539244E-2</v>
      </c>
      <c r="O6" s="40" t="s">
        <v>18</v>
      </c>
      <c r="P6" s="38">
        <f t="shared" ref="P6:P29" si="5">M6*$M$32</f>
        <v>41.667358939881346</v>
      </c>
      <c r="Q6" s="2">
        <f t="shared" ref="Q6:Q29" si="6">ROUNDUP(P6,0)</f>
        <v>42</v>
      </c>
      <c r="R6" s="24">
        <f t="shared" ref="R6:R29" si="7">Q6+E6</f>
        <v>42</v>
      </c>
    </row>
    <row r="7" spans="2:18" x14ac:dyDescent="0.3">
      <c r="B7" s="2" t="s">
        <v>19</v>
      </c>
      <c r="C7" s="2">
        <v>62734</v>
      </c>
      <c r="D7" s="2">
        <v>22056</v>
      </c>
      <c r="E7" s="18">
        <v>0</v>
      </c>
      <c r="G7" s="2" t="s">
        <v>19</v>
      </c>
      <c r="H7" s="33">
        <f t="shared" si="0"/>
        <v>5.7899453529721763E-2</v>
      </c>
      <c r="I7" s="33">
        <f t="shared" si="1"/>
        <v>4.5932775209296513E-2</v>
      </c>
      <c r="J7" s="9"/>
      <c r="K7" s="22">
        <f t="shared" si="2"/>
        <v>2</v>
      </c>
      <c r="L7" s="11">
        <f t="shared" si="3"/>
        <v>0.10383222873901828</v>
      </c>
      <c r="M7" s="21">
        <f t="shared" si="4"/>
        <v>5.1916114369509138E-2</v>
      </c>
      <c r="O7" s="40" t="s">
        <v>19</v>
      </c>
      <c r="P7" s="38">
        <f t="shared" si="5"/>
        <v>50.901955086914043</v>
      </c>
      <c r="Q7" s="2">
        <f t="shared" si="6"/>
        <v>51</v>
      </c>
      <c r="R7" s="24">
        <f t="shared" si="7"/>
        <v>51</v>
      </c>
    </row>
    <row r="8" spans="2:18" x14ac:dyDescent="0.3">
      <c r="B8" s="2" t="s">
        <v>20</v>
      </c>
      <c r="C8" s="2">
        <v>50602</v>
      </c>
      <c r="D8" s="2">
        <v>16356</v>
      </c>
      <c r="E8" s="18">
        <v>0</v>
      </c>
      <c r="G8" s="2" t="s">
        <v>20</v>
      </c>
      <c r="H8" s="33">
        <f t="shared" si="0"/>
        <v>4.6702396587352639E-2</v>
      </c>
      <c r="I8" s="33">
        <f t="shared" si="1"/>
        <v>3.4062226665000625E-2</v>
      </c>
      <c r="J8" s="9"/>
      <c r="K8" s="22">
        <f t="shared" si="2"/>
        <v>2</v>
      </c>
      <c r="L8" s="11">
        <f t="shared" si="3"/>
        <v>8.0764623252353257E-2</v>
      </c>
      <c r="M8" s="21">
        <f t="shared" si="4"/>
        <v>4.0382311626176629E-2</v>
      </c>
      <c r="O8" s="40" t="s">
        <v>20</v>
      </c>
      <c r="P8" s="38">
        <f t="shared" si="5"/>
        <v>39.593460290022172</v>
      </c>
      <c r="Q8" s="2">
        <f t="shared" si="6"/>
        <v>40</v>
      </c>
      <c r="R8" s="24">
        <f t="shared" si="7"/>
        <v>40</v>
      </c>
    </row>
    <row r="9" spans="2:18" x14ac:dyDescent="0.3">
      <c r="B9" s="2" t="s">
        <v>21</v>
      </c>
      <c r="C9" s="2">
        <v>0</v>
      </c>
      <c r="D9" s="2">
        <v>19134</v>
      </c>
      <c r="E9" s="18">
        <v>0</v>
      </c>
      <c r="G9" s="2" t="s">
        <v>21</v>
      </c>
      <c r="H9" s="33">
        <f>C9/H$32</f>
        <v>0</v>
      </c>
      <c r="I9" s="33">
        <f t="shared" si="1"/>
        <v>3.9847557166062725E-2</v>
      </c>
      <c r="J9" s="9"/>
      <c r="K9" s="22">
        <f t="shared" si="2"/>
        <v>1</v>
      </c>
      <c r="L9" s="11">
        <f t="shared" si="3"/>
        <v>3.9847557166062725E-2</v>
      </c>
      <c r="M9" s="21">
        <f t="shared" si="4"/>
        <v>3.9847557166062725E-2</v>
      </c>
      <c r="O9" s="40" t="s">
        <v>21</v>
      </c>
      <c r="P9" s="38">
        <f t="shared" si="5"/>
        <v>39.069152031559142</v>
      </c>
      <c r="Q9" s="2">
        <f t="shared" si="6"/>
        <v>40</v>
      </c>
      <c r="R9" s="24">
        <f t="shared" si="7"/>
        <v>40</v>
      </c>
    </row>
    <row r="10" spans="2:18" x14ac:dyDescent="0.3">
      <c r="B10" s="2" t="s">
        <v>22</v>
      </c>
      <c r="C10" s="2">
        <v>45468</v>
      </c>
      <c r="D10" s="2">
        <v>17795</v>
      </c>
      <c r="E10" s="18">
        <v>0</v>
      </c>
      <c r="G10" s="2" t="s">
        <v>22</v>
      </c>
      <c r="H10" s="33">
        <f t="shared" si="0"/>
        <v>4.1964044267691986E-2</v>
      </c>
      <c r="I10" s="33">
        <f t="shared" si="1"/>
        <v>3.7059019534341292E-2</v>
      </c>
      <c r="J10" s="9"/>
      <c r="K10" s="22">
        <f t="shared" si="2"/>
        <v>2</v>
      </c>
      <c r="L10" s="11">
        <f t="shared" si="3"/>
        <v>7.9023063802033278E-2</v>
      </c>
      <c r="M10" s="21">
        <f t="shared" si="4"/>
        <v>3.9511531901016639E-2</v>
      </c>
      <c r="O10" s="40" t="s">
        <v>22</v>
      </c>
      <c r="P10" s="38">
        <f t="shared" si="5"/>
        <v>38.739690877596324</v>
      </c>
      <c r="Q10" s="2">
        <f t="shared" si="6"/>
        <v>39</v>
      </c>
      <c r="R10" s="24">
        <f t="shared" si="7"/>
        <v>39</v>
      </c>
    </row>
    <row r="11" spans="2:18" x14ac:dyDescent="0.3">
      <c r="B11" s="2" t="s">
        <v>23</v>
      </c>
      <c r="C11" s="2">
        <v>30470</v>
      </c>
      <c r="D11" s="2">
        <v>19464</v>
      </c>
      <c r="E11" s="18">
        <v>0</v>
      </c>
      <c r="G11" s="2" t="s">
        <v>23</v>
      </c>
      <c r="H11" s="33">
        <f t="shared" si="0"/>
        <v>2.8121853365808368E-2</v>
      </c>
      <c r="I11" s="33">
        <f t="shared" si="1"/>
        <v>4.0534799450206174E-2</v>
      </c>
      <c r="J11" s="9"/>
      <c r="K11" s="22">
        <f t="shared" si="2"/>
        <v>2</v>
      </c>
      <c r="L11" s="11">
        <f t="shared" si="3"/>
        <v>6.8656652816014546E-2</v>
      </c>
      <c r="M11" s="21">
        <f t="shared" si="4"/>
        <v>3.4328326408007273E-2</v>
      </c>
      <c r="O11" s="40" t="s">
        <v>23</v>
      </c>
      <c r="P11" s="38">
        <f t="shared" si="5"/>
        <v>33.657737106295556</v>
      </c>
      <c r="Q11" s="2">
        <f t="shared" si="6"/>
        <v>34</v>
      </c>
      <c r="R11" s="24">
        <f t="shared" si="7"/>
        <v>34</v>
      </c>
    </row>
    <row r="12" spans="2:18" x14ac:dyDescent="0.3">
      <c r="B12" s="2" t="s">
        <v>24</v>
      </c>
      <c r="C12" s="2">
        <v>52043</v>
      </c>
      <c r="D12" s="2">
        <v>20571</v>
      </c>
      <c r="E12" s="18">
        <v>0</v>
      </c>
      <c r="G12" s="2" t="s">
        <v>24</v>
      </c>
      <c r="H12" s="33">
        <f t="shared" si="0"/>
        <v>4.8032347053389067E-2</v>
      </c>
      <c r="I12" s="33">
        <f t="shared" si="1"/>
        <v>4.2840184930651004E-2</v>
      </c>
      <c r="J12" s="9"/>
      <c r="K12" s="22">
        <f t="shared" si="2"/>
        <v>2</v>
      </c>
      <c r="L12" s="11">
        <f t="shared" si="3"/>
        <v>9.0872531984040078E-2</v>
      </c>
      <c r="M12" s="21">
        <f t="shared" si="4"/>
        <v>4.5436265992020039E-2</v>
      </c>
      <c r="O12" s="40" t="s">
        <v>24</v>
      </c>
      <c r="P12" s="38">
        <f t="shared" si="5"/>
        <v>44.548687800125734</v>
      </c>
      <c r="Q12" s="2">
        <f t="shared" si="6"/>
        <v>45</v>
      </c>
      <c r="R12" s="24">
        <f t="shared" si="7"/>
        <v>45</v>
      </c>
    </row>
    <row r="13" spans="2:18" x14ac:dyDescent="0.3">
      <c r="B13" s="2" t="s">
        <v>25</v>
      </c>
      <c r="C13" s="2">
        <v>33723</v>
      </c>
      <c r="D13" s="2">
        <v>23065</v>
      </c>
      <c r="E13" s="18">
        <v>0</v>
      </c>
      <c r="G13" s="2" t="s">
        <v>25</v>
      </c>
      <c r="H13" s="33">
        <f t="shared" si="0"/>
        <v>3.1124163474077964E-2</v>
      </c>
      <c r="I13" s="33">
        <f t="shared" si="1"/>
        <v>4.8034070556874503E-2</v>
      </c>
      <c r="J13" s="9"/>
      <c r="K13" s="22">
        <f t="shared" si="2"/>
        <v>2</v>
      </c>
      <c r="L13" s="11">
        <f t="shared" si="3"/>
        <v>7.9158234030952471E-2</v>
      </c>
      <c r="M13" s="21">
        <f t="shared" si="4"/>
        <v>3.9579117015476235E-2</v>
      </c>
      <c r="O13" s="40" t="s">
        <v>25</v>
      </c>
      <c r="P13" s="38">
        <f t="shared" si="5"/>
        <v>38.805955745499972</v>
      </c>
      <c r="Q13" s="2">
        <f t="shared" si="6"/>
        <v>39</v>
      </c>
      <c r="R13" s="24">
        <f t="shared" si="7"/>
        <v>39</v>
      </c>
    </row>
    <row r="14" spans="2:18" x14ac:dyDescent="0.3">
      <c r="B14" s="2" t="s">
        <v>26</v>
      </c>
      <c r="C14" s="2">
        <v>54216</v>
      </c>
      <c r="D14" s="2">
        <v>16898</v>
      </c>
      <c r="E14" s="18">
        <v>0</v>
      </c>
      <c r="G14" s="2" t="s">
        <v>26</v>
      </c>
      <c r="H14" s="33">
        <f t="shared" si="0"/>
        <v>5.0037886513970016E-2</v>
      </c>
      <c r="I14" s="33">
        <f t="shared" si="1"/>
        <v>3.5190970052896828E-2</v>
      </c>
      <c r="J14" s="9"/>
      <c r="K14" s="22">
        <f t="shared" si="2"/>
        <v>2</v>
      </c>
      <c r="L14" s="11">
        <f t="shared" si="3"/>
        <v>8.5228856566866851E-2</v>
      </c>
      <c r="M14" s="21">
        <f t="shared" si="4"/>
        <v>4.2614428283433425E-2</v>
      </c>
      <c r="O14" s="40" t="s">
        <v>26</v>
      </c>
      <c r="P14" s="38">
        <f t="shared" si="5"/>
        <v>41.781973494761701</v>
      </c>
      <c r="Q14" s="2">
        <f t="shared" si="6"/>
        <v>42</v>
      </c>
      <c r="R14" s="24">
        <f t="shared" si="7"/>
        <v>42</v>
      </c>
    </row>
    <row r="15" spans="2:18" x14ac:dyDescent="0.3">
      <c r="B15" s="2" t="s">
        <v>27</v>
      </c>
      <c r="C15" s="2">
        <v>38809</v>
      </c>
      <c r="D15" s="2">
        <v>17104</v>
      </c>
      <c r="E15" s="18">
        <v>0</v>
      </c>
      <c r="G15" s="2" t="s">
        <v>27</v>
      </c>
      <c r="H15" s="33">
        <f t="shared" si="0"/>
        <v>3.581821487606357E-2</v>
      </c>
      <c r="I15" s="33">
        <f t="shared" si="1"/>
        <v>3.5619975842392439E-2</v>
      </c>
      <c r="J15" s="9"/>
      <c r="K15" s="22">
        <f t="shared" si="2"/>
        <v>2</v>
      </c>
      <c r="L15" s="11">
        <f t="shared" si="3"/>
        <v>7.1438190718456002E-2</v>
      </c>
      <c r="M15" s="21">
        <f t="shared" si="4"/>
        <v>3.5719095359228001E-2</v>
      </c>
      <c r="O15" s="40" t="s">
        <v>27</v>
      </c>
      <c r="P15" s="38">
        <f t="shared" si="5"/>
        <v>35.021337975718275</v>
      </c>
      <c r="Q15" s="2">
        <f t="shared" si="6"/>
        <v>36</v>
      </c>
      <c r="R15" s="24">
        <f t="shared" si="7"/>
        <v>36</v>
      </c>
    </row>
    <row r="16" spans="2:18" x14ac:dyDescent="0.3">
      <c r="B16" s="2" t="s">
        <v>28</v>
      </c>
      <c r="C16" s="2">
        <v>32736</v>
      </c>
      <c r="D16" s="2">
        <v>15651</v>
      </c>
      <c r="E16" s="18">
        <v>0</v>
      </c>
      <c r="G16" s="2" t="s">
        <v>28</v>
      </c>
      <c r="H16" s="33">
        <f t="shared" si="0"/>
        <v>3.0213225854384729E-2</v>
      </c>
      <c r="I16" s="33">
        <f t="shared" si="1"/>
        <v>3.2594027239785078E-2</v>
      </c>
      <c r="J16" s="9"/>
      <c r="K16" s="22">
        <f t="shared" si="2"/>
        <v>2</v>
      </c>
      <c r="L16" s="11">
        <f t="shared" si="3"/>
        <v>6.2807253094169804E-2</v>
      </c>
      <c r="M16" s="21">
        <f t="shared" si="4"/>
        <v>3.1403626547084902E-2</v>
      </c>
      <c r="O16" s="40" t="s">
        <v>28</v>
      </c>
      <c r="P16" s="38">
        <f t="shared" si="5"/>
        <v>30.790170017129714</v>
      </c>
      <c r="Q16" s="2">
        <f t="shared" si="6"/>
        <v>31</v>
      </c>
      <c r="R16" s="24">
        <f t="shared" si="7"/>
        <v>31</v>
      </c>
    </row>
    <row r="17" spans="2:18" x14ac:dyDescent="0.3">
      <c r="B17" s="2" t="s">
        <v>29</v>
      </c>
      <c r="C17" s="2">
        <v>31196</v>
      </c>
      <c r="D17" s="2">
        <v>22845</v>
      </c>
      <c r="E17" s="18">
        <v>0</v>
      </c>
      <c r="G17" s="2" t="s">
        <v>29</v>
      </c>
      <c r="H17" s="33">
        <f t="shared" si="0"/>
        <v>2.8791904745643512E-2</v>
      </c>
      <c r="I17" s="33">
        <f t="shared" si="1"/>
        <v>4.7575909034112206E-2</v>
      </c>
      <c r="J17" s="9"/>
      <c r="K17" s="22">
        <f t="shared" si="2"/>
        <v>2</v>
      </c>
      <c r="L17" s="11">
        <f t="shared" si="3"/>
        <v>7.6367813779755711E-2</v>
      </c>
      <c r="M17" s="21">
        <f t="shared" si="4"/>
        <v>3.8183906889877856E-2</v>
      </c>
      <c r="O17" s="40" t="s">
        <v>29</v>
      </c>
      <c r="P17" s="38">
        <f t="shared" si="5"/>
        <v>37.438000458158079</v>
      </c>
      <c r="Q17" s="2">
        <f t="shared" si="6"/>
        <v>38</v>
      </c>
      <c r="R17" s="24">
        <f t="shared" si="7"/>
        <v>38</v>
      </c>
    </row>
    <row r="18" spans="2:18" x14ac:dyDescent="0.3">
      <c r="B18" s="2" t="s">
        <v>30</v>
      </c>
      <c r="C18" s="2">
        <v>61308</v>
      </c>
      <c r="D18" s="2">
        <v>21920</v>
      </c>
      <c r="E18" s="18">
        <v>0</v>
      </c>
      <c r="G18" s="2" t="s">
        <v>30</v>
      </c>
      <c r="H18" s="33">
        <f t="shared" si="0"/>
        <v>5.6583347100458793E-2</v>
      </c>
      <c r="I18" s="33">
        <f t="shared" si="1"/>
        <v>4.5649548086134369E-2</v>
      </c>
      <c r="J18" s="9"/>
      <c r="K18" s="22">
        <f t="shared" si="2"/>
        <v>2</v>
      </c>
      <c r="L18" s="11">
        <f t="shared" si="3"/>
        <v>0.10223289518659316</v>
      </c>
      <c r="M18" s="21">
        <f t="shared" si="4"/>
        <v>5.1116447593296581E-2</v>
      </c>
      <c r="O18" s="40" t="s">
        <v>30</v>
      </c>
      <c r="P18" s="38">
        <f t="shared" si="5"/>
        <v>50.117909462128708</v>
      </c>
      <c r="Q18" s="2">
        <f t="shared" si="6"/>
        <v>51</v>
      </c>
      <c r="R18" s="24">
        <f t="shared" si="7"/>
        <v>51</v>
      </c>
    </row>
    <row r="19" spans="2:18" x14ac:dyDescent="0.3">
      <c r="B19" s="2" t="s">
        <v>31</v>
      </c>
      <c r="C19" s="2">
        <v>61722</v>
      </c>
      <c r="D19" s="2">
        <v>16911</v>
      </c>
      <c r="E19" s="18">
        <v>0</v>
      </c>
      <c r="G19" s="2" t="s">
        <v>31</v>
      </c>
      <c r="H19" s="33">
        <f t="shared" si="0"/>
        <v>5.6965442515406105E-2</v>
      </c>
      <c r="I19" s="33">
        <f t="shared" si="1"/>
        <v>3.5218043233787327E-2</v>
      </c>
      <c r="J19" s="9"/>
      <c r="K19" s="22">
        <f t="shared" si="2"/>
        <v>2</v>
      </c>
      <c r="L19" s="11">
        <f t="shared" si="3"/>
        <v>9.2183485749193439E-2</v>
      </c>
      <c r="M19" s="21">
        <f t="shared" si="4"/>
        <v>4.6091742874596719E-2</v>
      </c>
      <c r="O19" s="40" t="s">
        <v>31</v>
      </c>
      <c r="P19" s="38">
        <f t="shared" si="5"/>
        <v>45.191360219713133</v>
      </c>
      <c r="Q19" s="2">
        <f t="shared" si="6"/>
        <v>46</v>
      </c>
      <c r="R19" s="24">
        <f t="shared" si="7"/>
        <v>46</v>
      </c>
    </row>
    <row r="20" spans="2:18" x14ac:dyDescent="0.3">
      <c r="B20" s="2" t="s">
        <v>32</v>
      </c>
      <c r="C20" s="2">
        <v>42072</v>
      </c>
      <c r="D20" s="2">
        <v>15706</v>
      </c>
      <c r="E20" s="18">
        <v>0</v>
      </c>
      <c r="G20" s="2" t="s">
        <v>32</v>
      </c>
      <c r="H20" s="33">
        <f t="shared" si="0"/>
        <v>3.8829754342182131E-2</v>
      </c>
      <c r="I20" s="33">
        <f t="shared" si="1"/>
        <v>3.2708567620475658E-2</v>
      </c>
      <c r="J20" s="9"/>
      <c r="K20" s="22">
        <f t="shared" si="2"/>
        <v>2</v>
      </c>
      <c r="L20" s="11">
        <f t="shared" si="3"/>
        <v>7.1538321962657789E-2</v>
      </c>
      <c r="M20" s="21">
        <f t="shared" si="4"/>
        <v>3.5769160981328894E-2</v>
      </c>
      <c r="O20" s="40" t="s">
        <v>32</v>
      </c>
      <c r="P20" s="38">
        <f t="shared" si="5"/>
        <v>35.070425587118464</v>
      </c>
      <c r="Q20" s="2">
        <f t="shared" si="6"/>
        <v>36</v>
      </c>
      <c r="R20" s="24">
        <f t="shared" si="7"/>
        <v>36</v>
      </c>
    </row>
    <row r="21" spans="2:18" x14ac:dyDescent="0.3">
      <c r="B21" s="2" t="s">
        <v>33</v>
      </c>
      <c r="C21" s="2">
        <v>57826</v>
      </c>
      <c r="D21" s="2">
        <v>21196</v>
      </c>
      <c r="E21" s="18">
        <v>0</v>
      </c>
      <c r="G21" s="2" t="s">
        <v>33</v>
      </c>
      <c r="H21" s="33">
        <f t="shared" si="0"/>
        <v>5.3369684697447808E-2</v>
      </c>
      <c r="I21" s="33">
        <f t="shared" si="1"/>
        <v>4.4141780165771166E-2</v>
      </c>
      <c r="J21" s="9"/>
      <c r="K21" s="22">
        <f t="shared" si="2"/>
        <v>2</v>
      </c>
      <c r="L21" s="11">
        <f t="shared" si="3"/>
        <v>9.7511464863218975E-2</v>
      </c>
      <c r="M21" s="21">
        <f t="shared" si="4"/>
        <v>4.8755732431609487E-2</v>
      </c>
      <c r="O21" s="40" t="s">
        <v>33</v>
      </c>
      <c r="P21" s="38">
        <f t="shared" si="5"/>
        <v>47.803309870219195</v>
      </c>
      <c r="Q21" s="2">
        <f t="shared" si="6"/>
        <v>48</v>
      </c>
      <c r="R21" s="24">
        <f t="shared" si="7"/>
        <v>48</v>
      </c>
    </row>
    <row r="22" spans="2:18" x14ac:dyDescent="0.3">
      <c r="B22" s="2" t="s">
        <v>34</v>
      </c>
      <c r="C22" s="2">
        <v>48830</v>
      </c>
      <c r="D22" s="2">
        <v>16997</v>
      </c>
      <c r="E22" s="18">
        <v>0</v>
      </c>
      <c r="G22" s="2" t="s">
        <v>34</v>
      </c>
      <c r="H22" s="33">
        <f t="shared" si="0"/>
        <v>4.5066954376515346E-2</v>
      </c>
      <c r="I22" s="33">
        <f t="shared" si="1"/>
        <v>3.5397142738139861E-2</v>
      </c>
      <c r="J22" s="9"/>
      <c r="K22" s="22">
        <f t="shared" si="2"/>
        <v>2</v>
      </c>
      <c r="L22" s="11">
        <f t="shared" si="3"/>
        <v>8.0464097114655214E-2</v>
      </c>
      <c r="M22" s="21">
        <f t="shared" si="4"/>
        <v>4.0232048557327607E-2</v>
      </c>
      <c r="O22" s="40" t="s">
        <v>34</v>
      </c>
      <c r="P22" s="38">
        <f t="shared" si="5"/>
        <v>39.446132546513951</v>
      </c>
      <c r="Q22" s="2">
        <f t="shared" si="6"/>
        <v>40</v>
      </c>
      <c r="R22" s="24">
        <f t="shared" si="7"/>
        <v>40</v>
      </c>
    </row>
    <row r="23" spans="2:18" x14ac:dyDescent="0.3">
      <c r="B23" s="2" t="s">
        <v>35</v>
      </c>
      <c r="C23" s="2">
        <v>36745</v>
      </c>
      <c r="D23" s="2">
        <v>23064</v>
      </c>
      <c r="E23" s="18">
        <v>0</v>
      </c>
      <c r="G23" s="2" t="s">
        <v>35</v>
      </c>
      <c r="H23" s="33">
        <f t="shared" si="0"/>
        <v>3.3913275416036379E-2</v>
      </c>
      <c r="I23" s="33">
        <f t="shared" si="1"/>
        <v>4.8031988004498316E-2</v>
      </c>
      <c r="J23" s="9"/>
      <c r="K23" s="22">
        <f t="shared" si="2"/>
        <v>2</v>
      </c>
      <c r="L23" s="11">
        <f t="shared" si="3"/>
        <v>8.1945263420534695E-2</v>
      </c>
      <c r="M23" s="21">
        <f t="shared" si="4"/>
        <v>4.0972631710267347E-2</v>
      </c>
      <c r="O23" s="40" t="s">
        <v>35</v>
      </c>
      <c r="P23" s="38">
        <f t="shared" si="5"/>
        <v>40.172248721556585</v>
      </c>
      <c r="Q23" s="2">
        <f t="shared" si="6"/>
        <v>41</v>
      </c>
      <c r="R23" s="24">
        <f t="shared" si="7"/>
        <v>41</v>
      </c>
    </row>
    <row r="24" spans="2:18" x14ac:dyDescent="0.3">
      <c r="B24" s="2" t="s">
        <v>36</v>
      </c>
      <c r="C24" s="2">
        <v>48143</v>
      </c>
      <c r="D24" s="2">
        <v>15892</v>
      </c>
      <c r="E24" s="18">
        <v>0</v>
      </c>
      <c r="G24" s="2" t="s">
        <v>36</v>
      </c>
      <c r="H24" s="33">
        <f t="shared" si="0"/>
        <v>4.4432897492291179E-2</v>
      </c>
      <c r="I24" s="33">
        <f t="shared" si="1"/>
        <v>3.3095922362447412E-2</v>
      </c>
      <c r="J24" s="9"/>
      <c r="K24" s="22">
        <f t="shared" si="2"/>
        <v>2</v>
      </c>
      <c r="L24" s="11">
        <f t="shared" si="3"/>
        <v>7.7528819854738584E-2</v>
      </c>
      <c r="M24" s="21">
        <f t="shared" si="4"/>
        <v>3.8764409927369292E-2</v>
      </c>
      <c r="O24" s="40" t="s">
        <v>36</v>
      </c>
      <c r="P24" s="38">
        <f t="shared" si="5"/>
        <v>38.007163614936246</v>
      </c>
      <c r="Q24" s="2">
        <f t="shared" si="6"/>
        <v>39</v>
      </c>
      <c r="R24" s="24">
        <f t="shared" si="7"/>
        <v>39</v>
      </c>
    </row>
    <row r="25" spans="2:18" x14ac:dyDescent="0.3">
      <c r="B25" s="2" t="s">
        <v>37</v>
      </c>
      <c r="C25" s="2">
        <v>62478</v>
      </c>
      <c r="D25" s="2">
        <v>21065</v>
      </c>
      <c r="E25" s="18">
        <v>0</v>
      </c>
      <c r="G25" s="2" t="s">
        <v>37</v>
      </c>
      <c r="H25" s="33">
        <f t="shared" si="0"/>
        <v>5.7663181968788155E-2</v>
      </c>
      <c r="I25" s="33">
        <f t="shared" si="1"/>
        <v>4.3868965804489984E-2</v>
      </c>
      <c r="J25" s="9"/>
      <c r="K25" s="22">
        <f t="shared" si="2"/>
        <v>2</v>
      </c>
      <c r="L25" s="11">
        <f t="shared" si="3"/>
        <v>0.10153214777327814</v>
      </c>
      <c r="M25" s="21">
        <f t="shared" si="4"/>
        <v>5.076607388663907E-2</v>
      </c>
      <c r="O25" s="40" t="s">
        <v>37</v>
      </c>
      <c r="P25" s="38">
        <f t="shared" si="5"/>
        <v>49.774380157277825</v>
      </c>
      <c r="Q25" s="2">
        <f t="shared" si="6"/>
        <v>50</v>
      </c>
      <c r="R25" s="24">
        <f t="shared" si="7"/>
        <v>50</v>
      </c>
    </row>
    <row r="26" spans="2:18" x14ac:dyDescent="0.3">
      <c r="B26" s="2" t="s">
        <v>38</v>
      </c>
      <c r="C26" s="2">
        <v>26826</v>
      </c>
      <c r="D26" s="2">
        <v>17912</v>
      </c>
      <c r="E26" s="18">
        <v>0</v>
      </c>
      <c r="G26" s="2" t="s">
        <v>38</v>
      </c>
      <c r="H26" s="33">
        <f t="shared" si="0"/>
        <v>2.4758675365644085E-2</v>
      </c>
      <c r="I26" s="33">
        <f t="shared" si="1"/>
        <v>3.730267816235578E-2</v>
      </c>
      <c r="J26" s="9"/>
      <c r="K26" s="22">
        <f t="shared" si="2"/>
        <v>2</v>
      </c>
      <c r="L26" s="11">
        <f t="shared" si="3"/>
        <v>6.2061353527999866E-2</v>
      </c>
      <c r="M26" s="21">
        <f t="shared" si="4"/>
        <v>3.1030676763999933E-2</v>
      </c>
      <c r="O26" s="40" t="s">
        <v>38</v>
      </c>
      <c r="P26" s="38">
        <f t="shared" si="5"/>
        <v>30.424505649932485</v>
      </c>
      <c r="Q26" s="2">
        <f t="shared" si="6"/>
        <v>31</v>
      </c>
      <c r="R26" s="24">
        <f t="shared" si="7"/>
        <v>31</v>
      </c>
    </row>
    <row r="27" spans="2:18" x14ac:dyDescent="0.3">
      <c r="B27" s="2" t="s">
        <v>39</v>
      </c>
      <c r="C27" s="2">
        <v>33428</v>
      </c>
      <c r="D27" s="2">
        <v>16264</v>
      </c>
      <c r="E27" s="18">
        <v>0</v>
      </c>
      <c r="G27" s="2" t="s">
        <v>39</v>
      </c>
      <c r="H27" s="33">
        <f t="shared" si="0"/>
        <v>3.0851897417533379E-2</v>
      </c>
      <c r="I27" s="33">
        <f t="shared" si="1"/>
        <v>3.3870631846390935E-2</v>
      </c>
      <c r="J27" s="9"/>
      <c r="K27" s="22">
        <f t="shared" si="2"/>
        <v>2</v>
      </c>
      <c r="L27" s="11">
        <f t="shared" si="3"/>
        <v>6.4722529263924314E-2</v>
      </c>
      <c r="M27" s="21">
        <f t="shared" si="4"/>
        <v>3.2361264631962157E-2</v>
      </c>
      <c r="O27" s="40" t="s">
        <v>39</v>
      </c>
      <c r="P27" s="38">
        <f t="shared" si="5"/>
        <v>31.729101048042327</v>
      </c>
      <c r="Q27" s="2">
        <f t="shared" si="6"/>
        <v>32</v>
      </c>
      <c r="R27" s="24">
        <f t="shared" si="7"/>
        <v>32</v>
      </c>
    </row>
    <row r="28" spans="2:18" x14ac:dyDescent="0.3">
      <c r="B28" s="2" t="s">
        <v>40</v>
      </c>
      <c r="C28" s="2">
        <v>42088</v>
      </c>
      <c r="D28" s="2">
        <v>20062</v>
      </c>
      <c r="E28" s="18">
        <v>0</v>
      </c>
      <c r="G28" s="2" t="s">
        <v>40</v>
      </c>
      <c r="H28" s="33">
        <f t="shared" si="0"/>
        <v>3.8844521314740484E-2</v>
      </c>
      <c r="I28" s="33">
        <f t="shared" si="1"/>
        <v>4.1780165771169143E-2</v>
      </c>
      <c r="J28" s="9"/>
      <c r="K28" s="22">
        <f t="shared" si="2"/>
        <v>2</v>
      </c>
      <c r="L28" s="11">
        <f t="shared" si="3"/>
        <v>8.0624687085909627E-2</v>
      </c>
      <c r="M28" s="21">
        <f t="shared" si="4"/>
        <v>4.0312343542954814E-2</v>
      </c>
      <c r="O28" s="40" t="s">
        <v>40</v>
      </c>
      <c r="P28" s="38">
        <f t="shared" si="5"/>
        <v>39.524859003640735</v>
      </c>
      <c r="Q28" s="2">
        <f t="shared" si="6"/>
        <v>40</v>
      </c>
      <c r="R28" s="24">
        <f t="shared" si="7"/>
        <v>40</v>
      </c>
    </row>
    <row r="29" spans="2:18" x14ac:dyDescent="0.3">
      <c r="B29" s="2" t="s">
        <v>41</v>
      </c>
      <c r="C29" s="2">
        <v>48053</v>
      </c>
      <c r="D29" s="2">
        <v>19440</v>
      </c>
      <c r="E29" s="18">
        <v>0</v>
      </c>
      <c r="G29" s="2" t="s">
        <v>41</v>
      </c>
      <c r="H29" s="33">
        <f t="shared" si="0"/>
        <v>4.4349833271650457E-2</v>
      </c>
      <c r="I29" s="33">
        <f t="shared" si="1"/>
        <v>4.0484818193177556E-2</v>
      </c>
      <c r="J29" s="9"/>
      <c r="K29" s="22">
        <f t="shared" si="2"/>
        <v>2</v>
      </c>
      <c r="L29" s="11">
        <f t="shared" si="3"/>
        <v>8.483465146482802E-2</v>
      </c>
      <c r="M29" s="21">
        <f t="shared" si="4"/>
        <v>4.241732573241401E-2</v>
      </c>
      <c r="O29" s="40" t="s">
        <v>41</v>
      </c>
      <c r="P29" s="38">
        <f t="shared" si="5"/>
        <v>41.58872125850808</v>
      </c>
      <c r="Q29" s="2">
        <f t="shared" si="6"/>
        <v>42</v>
      </c>
      <c r="R29" s="24">
        <f t="shared" si="7"/>
        <v>42</v>
      </c>
    </row>
    <row r="30" spans="2:18" ht="15" thickBot="1" x14ac:dyDescent="0.35">
      <c r="B30" s="30" t="s">
        <v>11</v>
      </c>
      <c r="C30" s="31">
        <f>SUM(C5:C29)</f>
        <v>1083499</v>
      </c>
      <c r="D30" s="31">
        <f>SUM(D5:D29)</f>
        <v>480180</v>
      </c>
      <c r="E30" s="19">
        <f>SUM(E5:E29)</f>
        <v>0</v>
      </c>
      <c r="G30" s="30" t="s">
        <v>11</v>
      </c>
      <c r="H30" s="19">
        <f>SUM(H5:H29)</f>
        <v>1.0000000000000002</v>
      </c>
      <c r="I30" s="19">
        <f>SUM(I5:I29)</f>
        <v>1</v>
      </c>
      <c r="J30" s="10"/>
      <c r="K30" s="23">
        <f t="shared" ref="K30:L30" si="8">SUM(K5:K29)</f>
        <v>49</v>
      </c>
      <c r="L30" s="23">
        <f t="shared" si="8"/>
        <v>2</v>
      </c>
      <c r="M30" s="23">
        <f>SUM(M5:M29)</f>
        <v>1.0199237785830315</v>
      </c>
      <c r="O30" s="41" t="s">
        <v>11</v>
      </c>
      <c r="P30" s="39">
        <f>SUM(P5:P29)</f>
        <v>999.99999999999977</v>
      </c>
      <c r="Q30" s="25">
        <f>SUM(Q5:Q29)</f>
        <v>1013</v>
      </c>
      <c r="R30" s="26">
        <f>SUM(R5:R29)</f>
        <v>1013</v>
      </c>
    </row>
    <row r="31" spans="2:18" ht="15" thickBot="1" x14ac:dyDescent="0.35"/>
    <row r="32" spans="2:18" ht="15" thickBot="1" x14ac:dyDescent="0.35">
      <c r="B32" s="4" t="s">
        <v>12</v>
      </c>
      <c r="C32" s="5">
        <f>C30/IF($E$30=0, 1, $E$30)</f>
        <v>1083499</v>
      </c>
      <c r="D32" s="5">
        <f>D30/IF($E$30=0, 1, $E$30)</f>
        <v>480180</v>
      </c>
      <c r="E32" s="6">
        <f>E30/(1182)</f>
        <v>0</v>
      </c>
      <c r="G32" s="4" t="s">
        <v>12</v>
      </c>
      <c r="H32" s="5">
        <f>C32</f>
        <v>1083499</v>
      </c>
      <c r="I32" s="5">
        <f>D32</f>
        <v>480180</v>
      </c>
      <c r="J32" s="7"/>
      <c r="K32" s="12" t="s">
        <v>13</v>
      </c>
      <c r="L32" s="13"/>
      <c r="M32" s="14">
        <f>(C1-E30)/M30</f>
        <v>980.46542398422025</v>
      </c>
    </row>
    <row r="36" spans="5:5" x14ac:dyDescent="0.3">
      <c r="E36" s="32"/>
    </row>
  </sheetData>
  <mergeCells count="4">
    <mergeCell ref="H3:I3"/>
    <mergeCell ref="K3:M3"/>
    <mergeCell ref="P3:R3"/>
    <mergeCell ref="C3:E3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cdddad-2b1f-436d-88eb-044e76eeffc8">
      <Terms xmlns="http://schemas.microsoft.com/office/infopath/2007/PartnerControls"/>
    </lcf76f155ced4ddcb4097134ff3c332f>
    <TaxCatchAll xmlns="50c908b1-f277-4340-90a9-4611d0b0f0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4684C3F4A2343B1402B71172400D2" ma:contentTypeVersion="17" ma:contentTypeDescription="Crée un document." ma:contentTypeScope="" ma:versionID="04630c4c11d5dc8c4b6d7876ed62771d">
  <xsd:schema xmlns:xsd="http://www.w3.org/2001/XMLSchema" xmlns:xs="http://www.w3.org/2001/XMLSchema" xmlns:p="http://schemas.microsoft.com/office/2006/metadata/properties" xmlns:ns2="83cdddad-2b1f-436d-88eb-044e76eeffc8" xmlns:ns3="ecc2b7ce-a52f-4b6e-9c26-c1e44bf70410" xmlns:ns4="50c908b1-f277-4340-90a9-4611d0b0f078" targetNamespace="http://schemas.microsoft.com/office/2006/metadata/properties" ma:root="true" ma:fieldsID="ab12888610d56c0a29b7aa0156089e8b" ns2:_="" ns3:_="" ns4:_="">
    <xsd:import namespace="83cdddad-2b1f-436d-88eb-044e76eeffc8"/>
    <xsd:import namespace="ecc2b7ce-a52f-4b6e-9c26-c1e44bf70410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dddad-2b1f-436d-88eb-044e76eef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2b7ce-a52f-4b6e-9c26-c1e44bf70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bada392-3432-4d88-9f0c-ae4bc7fe0ad3}" ma:internalName="TaxCatchAll" ma:showField="CatchAllData" ma:web="ecc2b7ce-a52f-4b6e-9c26-c1e44bf70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A8CBB-BF67-4567-81DC-ADCF03B22D44}">
  <ds:schemaRefs>
    <ds:schemaRef ds:uri="http://schemas.microsoft.com/office/2006/metadata/properties"/>
    <ds:schemaRef ds:uri="http://schemas.microsoft.com/office/infopath/2007/PartnerControls"/>
    <ds:schemaRef ds:uri="83cdddad-2b1f-436d-88eb-044e76eeffc8"/>
    <ds:schemaRef ds:uri="50c908b1-f277-4340-90a9-4611d0b0f078"/>
  </ds:schemaRefs>
</ds:datastoreItem>
</file>

<file path=customXml/itemProps2.xml><?xml version="1.0" encoding="utf-8"?>
<ds:datastoreItem xmlns:ds="http://schemas.openxmlformats.org/officeDocument/2006/customXml" ds:itemID="{B9E5C6E9-B70D-4C37-913A-C7B70F5730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6D8E01-CCC3-4852-98AC-490716147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dddad-2b1f-436d-88eb-044e76eeffc8"/>
    <ds:schemaRef ds:uri="ecc2b7ce-a52f-4b6e-9c26-c1e44bf70410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Da Silva Quinto Pereira</dc:creator>
  <cp:keywords/>
  <dc:description/>
  <cp:lastModifiedBy>Armand Picard</cp:lastModifiedBy>
  <cp:revision/>
  <dcterms:created xsi:type="dcterms:W3CDTF">2025-05-05T13:36:22Z</dcterms:created>
  <dcterms:modified xsi:type="dcterms:W3CDTF">2026-05-05T16:21:05Z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0x01010018A4684C3F4A2343B1402B71172400D2</vt:lpwstr>
  </property>
  <property fmtid="{D5CDD505-2E9C-101B-9397-08002B2CF9AE}" pid="3" name="MediaServiceImageTags">
    <vt:lpwstr/>
  </property>
</Properties>
</file>